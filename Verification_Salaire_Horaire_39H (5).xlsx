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SERVEUR\commun\6.Aude\fabrication outil fiche de paie net-brut\"/>
    </mc:Choice>
  </mc:AlternateContent>
  <xr:revisionPtr revIDLastSave="0" documentId="8_{1F09199E-517E-412D-929D-B06A375DA03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imulateur" sheetId="1" r:id="rId1"/>
  </sheets>
  <calcPr calcId="191029"/>
  <fileRecoveryPr repairLoad="1"/>
</workbook>
</file>

<file path=xl/calcChain.xml><?xml version="1.0" encoding="utf-8"?>
<calcChain xmlns="http://schemas.openxmlformats.org/spreadsheetml/2006/main">
  <c r="B21" i="1" l="1"/>
  <c r="B19" i="1"/>
  <c r="B23" i="1" s="1"/>
  <c r="B29" i="1" s="1"/>
  <c r="B24" i="1" l="1"/>
  <c r="B26" i="1"/>
  <c r="B27" i="1" l="1"/>
  <c r="B25" i="1"/>
</calcChain>
</file>

<file path=xl/sharedStrings.xml><?xml version="1.0" encoding="utf-8"?>
<sst xmlns="http://schemas.openxmlformats.org/spreadsheetml/2006/main" count="25" uniqueCount="25">
  <si>
    <t>SIMULATEUR DE CONFORMITÉ SALAIRE HORAIRE (39H)</t>
  </si>
  <si>
    <t>1. DONNÉES À SAISIR</t>
  </si>
  <si>
    <t>Salaire NET mensuel négocié (€)</t>
  </si>
  <si>
    <t>Option Mutuelle (Sélectionner)</t>
  </si>
  <si>
    <t>2. PARAMÈTRES &amp; VARIABLES CONFIGURÉES</t>
  </si>
  <si>
    <t>Taux horaire brut minimum légal (€)</t>
  </si>
  <si>
    <t>Heures normales mensuelles (151.67h)</t>
  </si>
  <si>
    <t>Heures supplémentaires mensuelles (17.33h)</t>
  </si>
  <si>
    <t>Majoration heures supplémentaires</t>
  </si>
  <si>
    <t>Nombre de paniers repas par mois</t>
  </si>
  <si>
    <t>Valeur unitaire d'un panier repas (€)</t>
  </si>
  <si>
    <t>Taux charges salariales moyen estimé</t>
  </si>
  <si>
    <t>Taux Mutuelle 'Sans conjoint'</t>
  </si>
  <si>
    <t>Taux Mutuelle 'Avec conjoint'</t>
  </si>
  <si>
    <t>3. RÉSULTATS &amp; CONFORMITÉ</t>
  </si>
  <si>
    <t>Total Paniers Repas déduits (€)</t>
  </si>
  <si>
    <t>Pourcentage Mutuelle appliqué</t>
  </si>
  <si>
    <t>Heures équivalentes brutes totales</t>
  </si>
  <si>
    <t>TAUX HORAIRE BRUT RECONSTITUÉ (€)</t>
  </si>
  <si>
    <t>Salaire Brut de Base Reconstitué (151.67h)</t>
  </si>
  <si>
    <t>Montant Cotisation Mutuelle déduite (€)</t>
  </si>
  <si>
    <t>Montant Heures Sup Brutes (€)</t>
  </si>
  <si>
    <t>Salaire Brut Mensuel Global (€)</t>
  </si>
  <si>
    <t>STATUT DE CONFORMITÉ LEGAL</t>
  </si>
  <si>
    <t>Sans conjoint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</si>
</sst>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B365D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/>
    </xf>
    <xf numFmtId="4" fontId="4" fillId="3" borderId="1" xfId="0" applyNumberFormat="1" applyFont="1" applyFill="1" applyBorder="1"/>
    <xf numFmtId="0" fontId="4" fillId="3" borderId="1" xfId="0" applyFont="1" applyFill="1" applyBorder="1"/>
    <xf numFmtId="4" fontId="3" fillId="4" borderId="1" xfId="0" applyNumberFormat="1" applyFont="1" applyFill="1" applyBorder="1" applyAlignment="1">
      <alignment horizontal="right" vertical="center"/>
    </xf>
    <xf numFmtId="9" fontId="3" fillId="4" borderId="1" xfId="0" applyNumberFormat="1" applyFont="1" applyFill="1" applyBorder="1" applyAlignment="1">
      <alignment horizontal="right" vertical="center"/>
    </xf>
    <xf numFmtId="1" fontId="3" fillId="4" borderId="1" xfId="0" applyNumberFormat="1" applyFont="1" applyFill="1" applyBorder="1" applyAlignment="1">
      <alignment horizontal="right" vertical="center"/>
    </xf>
    <xf numFmtId="10" fontId="3" fillId="4" borderId="1" xfId="0" applyNumberFormat="1" applyFont="1" applyFill="1" applyBorder="1" applyAlignment="1">
      <alignment horizontal="right" vertical="center"/>
    </xf>
    <xf numFmtId="4" fontId="3" fillId="0" borderId="1" xfId="0" applyNumberFormat="1" applyFont="1" applyBorder="1"/>
    <xf numFmtId="10" fontId="3" fillId="0" borderId="1" xfId="0" applyNumberFormat="1" applyFont="1" applyBorder="1"/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2" fillId="2" borderId="0" xfId="0" applyFont="1" applyFill="1"/>
    <xf numFmtId="0" fontId="0" fillId="0" borderId="0" xfId="0"/>
  </cellXfs>
  <cellStyles count="1">
    <cellStyle name="Normal" xfId="0" builtinId="0"/>
  </cellStyles>
  <dxfs count="2">
    <dxf>
      <font>
        <b/>
        <sz val="11"/>
        <color rgb="FFC65911"/>
        <name val="Calibri"/>
      </font>
      <fill>
        <patternFill patternType="solid">
          <fgColor rgb="FFFCE4D6"/>
          <bgColor rgb="FFFCE4D6"/>
        </patternFill>
      </fill>
    </dxf>
    <dxf>
      <font>
        <b/>
        <sz val="11"/>
        <color rgb="FF375623"/>
        <name val="Calibri"/>
      </font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G23" sqref="G23"/>
    </sheetView>
  </sheetViews>
  <sheetFormatPr baseColWidth="10" defaultColWidth="9.140625" defaultRowHeight="15" x14ac:dyDescent="0.25"/>
  <cols>
    <col min="1" max="1" width="45" customWidth="1"/>
    <col min="2" max="2" width="40" customWidth="1"/>
  </cols>
  <sheetData>
    <row r="1" spans="1:2" ht="24.95" customHeight="1" x14ac:dyDescent="0.3">
      <c r="A1" s="1" t="s">
        <v>0</v>
      </c>
    </row>
    <row r="3" spans="1:2" ht="20.100000000000001" customHeight="1" x14ac:dyDescent="0.25">
      <c r="A3" s="16" t="s">
        <v>1</v>
      </c>
      <c r="B3" s="17"/>
    </row>
    <row r="4" spans="1:2" x14ac:dyDescent="0.25">
      <c r="A4" s="2" t="s">
        <v>2</v>
      </c>
      <c r="B4" s="3">
        <v>1900</v>
      </c>
    </row>
    <row r="5" spans="1:2" x14ac:dyDescent="0.25">
      <c r="A5" s="2" t="s">
        <v>3</v>
      </c>
      <c r="B5" s="4" t="s">
        <v>24</v>
      </c>
    </row>
    <row r="7" spans="1:2" ht="20.100000000000001" customHeight="1" x14ac:dyDescent="0.25">
      <c r="A7" s="14" t="s">
        <v>4</v>
      </c>
      <c r="B7" s="15"/>
    </row>
    <row r="8" spans="1:2" x14ac:dyDescent="0.25">
      <c r="A8" s="2" t="s">
        <v>5</v>
      </c>
      <c r="B8" s="5">
        <v>12.31</v>
      </c>
    </row>
    <row r="9" spans="1:2" x14ac:dyDescent="0.25">
      <c r="A9" s="2" t="s">
        <v>6</v>
      </c>
      <c r="B9" s="5">
        <v>151.66999999999999</v>
      </c>
    </row>
    <row r="10" spans="1:2" x14ac:dyDescent="0.25">
      <c r="A10" s="2" t="s">
        <v>7</v>
      </c>
      <c r="B10" s="5">
        <v>17.329999999999998</v>
      </c>
    </row>
    <row r="11" spans="1:2" x14ac:dyDescent="0.25">
      <c r="A11" s="2" t="s">
        <v>8</v>
      </c>
      <c r="B11" s="6">
        <v>0.25</v>
      </c>
    </row>
    <row r="12" spans="1:2" x14ac:dyDescent="0.25">
      <c r="A12" s="2" t="s">
        <v>9</v>
      </c>
      <c r="B12" s="7">
        <v>22</v>
      </c>
    </row>
    <row r="13" spans="1:2" x14ac:dyDescent="0.25">
      <c r="A13" s="2" t="s">
        <v>10</v>
      </c>
      <c r="B13" s="5">
        <v>10.3</v>
      </c>
    </row>
    <row r="14" spans="1:2" x14ac:dyDescent="0.25">
      <c r="A14" s="2" t="s">
        <v>11</v>
      </c>
      <c r="B14" s="6">
        <v>0.22</v>
      </c>
    </row>
    <row r="15" spans="1:2" x14ac:dyDescent="0.25">
      <c r="A15" s="2" t="s">
        <v>12</v>
      </c>
      <c r="B15" s="8">
        <v>1.35E-2</v>
      </c>
    </row>
    <row r="16" spans="1:2" x14ac:dyDescent="0.25">
      <c r="A16" s="2" t="s">
        <v>13</v>
      </c>
      <c r="B16" s="8">
        <v>2.7E-2</v>
      </c>
    </row>
    <row r="18" spans="1:2" ht="20.100000000000001" customHeight="1" x14ac:dyDescent="0.25">
      <c r="A18" s="14" t="s">
        <v>14</v>
      </c>
      <c r="B18" s="15"/>
    </row>
    <row r="19" spans="1:2" x14ac:dyDescent="0.25">
      <c r="A19" s="2" t="s">
        <v>15</v>
      </c>
      <c r="B19" s="9">
        <f>B12*B13</f>
        <v>226.60000000000002</v>
      </c>
    </row>
    <row r="20" spans="1:2" x14ac:dyDescent="0.25">
      <c r="A20" s="2" t="s">
        <v>16</v>
      </c>
      <c r="B20" s="10"/>
    </row>
    <row r="21" spans="1:2" x14ac:dyDescent="0.25">
      <c r="A21" s="2" t="s">
        <v>17</v>
      </c>
      <c r="B21" s="9">
        <f>B9+(B10*(1+B11))</f>
        <v>173.33249999999998</v>
      </c>
    </row>
    <row r="23" spans="1:2" x14ac:dyDescent="0.25">
      <c r="A23" s="11" t="s">
        <v>18</v>
      </c>
      <c r="B23" s="12">
        <f>(B4-B19)/((B21*(1-B14))-(B20*B9))</f>
        <v>12.377278441057596</v>
      </c>
    </row>
    <row r="24" spans="1:2" x14ac:dyDescent="0.25">
      <c r="A24" s="2" t="s">
        <v>19</v>
      </c>
      <c r="B24" s="9">
        <f>B23*B9</f>
        <v>1877.2618211552056</v>
      </c>
    </row>
    <row r="25" spans="1:2" x14ac:dyDescent="0.25">
      <c r="A25" s="2" t="s">
        <v>20</v>
      </c>
      <c r="B25" s="9">
        <f>B24*B20</f>
        <v>0</v>
      </c>
    </row>
    <row r="26" spans="1:2" x14ac:dyDescent="0.25">
      <c r="A26" s="2" t="s">
        <v>21</v>
      </c>
      <c r="B26" s="9">
        <f>B23*B10*(1+B11)</f>
        <v>268.12279422941015</v>
      </c>
    </row>
    <row r="27" spans="1:2" x14ac:dyDescent="0.25">
      <c r="A27" s="11" t="s">
        <v>22</v>
      </c>
      <c r="B27" s="12">
        <f>B24+B26</f>
        <v>2145.3846153846157</v>
      </c>
    </row>
    <row r="29" spans="1:2" x14ac:dyDescent="0.25">
      <c r="A29" s="11" t="s">
        <v>23</v>
      </c>
      <c r="B29" s="13" t="str">
        <f>IF(B23&gt;=B8,"🟢 CONFORME","🔴 ALERTE : SOUS LE SMIC HORAIRE")</f>
        <v>🟢 CONFORME</v>
      </c>
    </row>
  </sheetData>
  <mergeCells count="3">
    <mergeCell ref="A18:B18"/>
    <mergeCell ref="A3:B3"/>
    <mergeCell ref="A7:B7"/>
  </mergeCells>
  <conditionalFormatting sqref="B29">
    <cfRule type="cellIs" dxfId="1" priority="1" operator="equal">
      <formula>"🟢 CONFORME"</formula>
    </cfRule>
    <cfRule type="cellIs" dxfId="0" priority="2" operator="equal">
      <formula>"🔴 ALERTE : SOUS LE SMIC HORAIRE"</formula>
    </cfRule>
  </conditionalFormatting>
  <dataValidations count="1">
    <dataValidation type="list" allowBlank="1" sqref="B5" xr:uid="{00000000-0002-0000-0000-000000000000}">
      <formula1>"Sans conjoint,Avec conjoint"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Simulateur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PMTP CONSTRUCTIONS</cp:lastModifiedBy>
  <dcterms:created xsi:type="dcterms:W3CDTF">2026-09-28T13:22:12Z</dcterms:created>
  <dcterms:modified xsi:type="dcterms:W3CDTF">2026-09-28T15:03:10Z</dcterms:modified>
</cp:coreProperties>
</file>